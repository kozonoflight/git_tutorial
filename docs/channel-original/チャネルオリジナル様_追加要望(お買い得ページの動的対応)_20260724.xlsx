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追加要望一覧" sheetId="1" state="visible" r:id="rId1"/>
  </sheets>
  <definedNames>
    <definedName name="_xlnm._FilterDatabase" localSheetId="0" hidden="1">'追加要望一覧'!$B$2:$I$3</definedName>
    <definedName name="_xlnm.Print_Titles" localSheetId="0">'追加要望一覧'!$1:$2</definedName>
    <definedName name="_xlnm.Print_Area" localSheetId="0">'追加要望一覧'!$A$1:$K$7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Meiryo UI"/>
      <charset val="128"/>
      <family val="3"/>
      <color theme="1"/>
      <sz val="10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b val="1"/>
      <color theme="1"/>
      <sz val="10"/>
    </font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strike val="1"/>
      <color theme="1"/>
      <sz val="10"/>
    </font>
    <font>
      <name val="Meiryo UI"/>
      <charset val="128"/>
      <family val="3"/>
      <b val="1"/>
      <color theme="1"/>
      <sz val="14"/>
    </font>
    <font>
      <name val="Meiryo UI"/>
      <b val="1"/>
      <color rgb="001A1A1A"/>
      <sz val="14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7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F4F6F"/>
      </patternFill>
    </fill>
    <fill>
      <patternFill patternType="solid">
        <fgColor rgb="00F5F7FA"/>
      </patternFill>
    </fill>
    <fill>
      <patternFill patternType="solid">
        <fgColor rgb="00E8EEF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2">
    <xf numFmtId="0" fontId="5" fillId="0" borderId="0" applyAlignment="1">
      <alignment vertical="center"/>
    </xf>
    <xf numFmtId="38" fontId="5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38" fontId="3" fillId="2" borderId="1" applyAlignment="1" pivotButton="0" quotePrefix="0" xfId="1">
      <alignment horizontal="center" vertical="center"/>
    </xf>
    <xf numFmtId="38" fontId="2" fillId="0" borderId="0" applyAlignment="1" pivotButton="0" quotePrefix="0" xfId="1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38" fontId="2" fillId="0" borderId="1" applyAlignment="1" pivotButton="0" quotePrefix="0" xfId="1">
      <alignment vertical="center"/>
    </xf>
    <xf numFmtId="164" fontId="4" fillId="0" borderId="1" applyAlignment="1" pivotButton="0" quotePrefix="0" xfId="0">
      <alignment horizontal="right" vertical="center"/>
    </xf>
    <xf numFmtId="38" fontId="4" fillId="0" borderId="1" applyAlignment="1" pivotButton="0" quotePrefix="0" xfId="1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0" fillId="0" borderId="0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 wrapText="1"/>
    </xf>
    <xf numFmtId="38" fontId="9" fillId="4" borderId="2" applyAlignment="1" pivotButton="0" quotePrefix="0" xfId="1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165" fontId="10" fillId="0" borderId="2" applyAlignment="1" pivotButton="0" quotePrefix="0" xfId="0">
      <alignment horizontal="center" vertical="center" wrapText="1"/>
    </xf>
    <xf numFmtId="3" fontId="10" fillId="0" borderId="2" applyAlignment="1" pivotButton="0" quotePrefix="0" xfId="1">
      <alignment horizontal="right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165" fontId="10" fillId="5" borderId="2" applyAlignment="1" pivotButton="0" quotePrefix="0" xfId="0">
      <alignment horizontal="center" vertical="center" wrapText="1"/>
    </xf>
    <xf numFmtId="3" fontId="10" fillId="5" borderId="2" applyAlignment="1" pivotButton="0" quotePrefix="0" xfId="1">
      <alignment horizontal="right" vertical="center" wrapText="1"/>
    </xf>
    <xf numFmtId="0" fontId="11" fillId="6" borderId="2" pivotButton="0" quotePrefix="0" xfId="0"/>
    <xf numFmtId="0" fontId="11" fillId="6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3" fontId="11" fillId="6" borderId="2" applyAlignment="1" pivotButton="0" quotePrefix="0" xfId="1">
      <alignment horizontal="right" vertical="center" wrapText="1"/>
    </xf>
    <xf numFmtId="0" fontId="11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view="pageBreakPreview" zoomScale="115" zoomScaleNormal="80" zoomScaleSheetLayoutView="115" workbookViewId="0">
      <pane ySplit="2" topLeftCell="A3" activePane="bottomLeft" state="frozen"/>
      <selection pane="bottomLeft" activeCell="H11" sqref="H11"/>
    </sheetView>
  </sheetViews>
  <sheetFormatPr baseColWidth="8" defaultColWidth="2.625" defaultRowHeight="14.25"/>
  <cols>
    <col width="6" bestFit="1" customWidth="1" style="5" min="1" max="1"/>
    <col width="16" bestFit="1" customWidth="1" style="5" min="2" max="2"/>
    <col width="10" customWidth="1" style="1" min="3" max="3"/>
    <col width="26" customWidth="1" style="1" min="4" max="4"/>
    <col width="14" customWidth="1" style="2" min="5" max="5"/>
    <col width="62" customWidth="1" style="1" min="6" max="6"/>
    <col width="12" customWidth="1" style="2" min="7" max="7"/>
    <col width="14" customWidth="1" style="1" min="8" max="8"/>
    <col width="16" customWidth="1" style="1" min="9" max="9"/>
    <col width="14" customWidth="1" style="1" min="10" max="10"/>
    <col width="12" customWidth="1" style="7" min="11" max="11"/>
    <col width="2.625" customWidth="1" style="1" min="12" max="16384"/>
  </cols>
  <sheetData>
    <row r="1" ht="28" customHeight="1" s="22">
      <c r="A1" s="23" t="inlineStr">
        <is>
          <t>チャネルオリジナル様　追加要望お見積り</t>
        </is>
      </c>
    </row>
    <row r="2" ht="32" customHeight="1" s="22">
      <c r="A2" s="24" t="inlineStr">
        <is>
          <t>NO</t>
        </is>
      </c>
      <c r="B2" s="24" t="inlineStr">
        <is>
          <t>工程名</t>
        </is>
      </c>
      <c r="C2" s="24" t="inlineStr">
        <is>
          <t>サイト</t>
        </is>
      </c>
      <c r="D2" s="24" t="inlineStr">
        <is>
          <t>画面・ダイアログ</t>
        </is>
      </c>
      <c r="E2" s="24" t="inlineStr">
        <is>
          <t>関連チケット</t>
        </is>
      </c>
      <c r="F2" s="24" t="inlineStr">
        <is>
          <t>対応内容</t>
        </is>
      </c>
      <c r="G2" s="24" t="inlineStr">
        <is>
          <t>開発備考
(人日)</t>
        </is>
      </c>
      <c r="H2" s="24" t="inlineStr">
        <is>
          <t>開発規模原価
(人日)</t>
        </is>
      </c>
      <c r="I2" s="24" t="inlineStr">
        <is>
          <t>開発規模諸経費込
(人日)</t>
        </is>
      </c>
      <c r="J2" s="24" t="inlineStr">
        <is>
          <t>開発規模1.7倍
(人日)</t>
        </is>
      </c>
      <c r="K2" s="25" t="inlineStr">
        <is>
          <t>金額(円)</t>
        </is>
      </c>
    </row>
    <row r="3" ht="165" customHeight="1" s="22">
      <c r="A3" s="26">
        <f>ROW()-2</f>
        <v/>
      </c>
      <c r="B3" s="26" t="inlineStr">
        <is>
          <t>EC-RiderB2B改修</t>
        </is>
      </c>
      <c r="C3" s="26" t="inlineStr">
        <is>
          <t>フロント</t>
        </is>
      </c>
      <c r="D3" s="26" t="inlineStr">
        <is>
          <t>お買い得ページの動的対応
①限定生産品</t>
        </is>
      </c>
      <c r="E3" s="26" t="inlineStr">
        <is>
          <t>CO_EC-520</t>
        </is>
      </c>
      <c r="F3" s="27" t="inlineStr">
        <is>
          <t>【対応方針】
商品（SKU）マスタに「限定生産品掲載フラグ」を追加し、フラグがONかつ得意先販路が許可されている商品SKUを、お買い得ページの「限定生産品」として表示するようカスタマイズします。
・商品マスタの既存項目で表示可能な情報は、カスタマイズなしで表示します。
・「防火性能」「国産材」等のタグ表示が必要な場合は、商品（SKU）マスタの未使用項目（塗料用フリーエリア9・10など）を利用し、当該データをもとにタグを表示します。
【確認事項】
※タグ表示を商品一覧・商品詳細にも適用するか、要確認。
※表示件数が8件を超える場合は、「もっと見る」リンクで展開する想定。</t>
        </is>
      </c>
      <c r="G3" s="26" t="inlineStr">
        <is>
          <t>設計:0.5
PG:1
PT:0.5</t>
        </is>
      </c>
      <c r="H3" s="28" t="n">
        <v>2</v>
      </c>
      <c r="I3" s="28">
        <f>H3*1.1</f>
        <v/>
      </c>
      <c r="J3" s="28">
        <f>I3*1.5</f>
        <v/>
      </c>
      <c r="K3" s="29">
        <f>J3*60000</f>
        <v/>
      </c>
    </row>
    <row r="4" ht="165" customHeight="1" s="22">
      <c r="A4" s="30">
        <f>ROW()-2</f>
        <v/>
      </c>
      <c r="B4" s="30" t="inlineStr">
        <is>
          <t>EC-RiderB2B改修</t>
        </is>
      </c>
      <c r="C4" s="30" t="inlineStr">
        <is>
          <t>フロント</t>
        </is>
      </c>
      <c r="D4" s="30" t="inlineStr">
        <is>
          <t>お買い得ページの動的対応
②特別価格</t>
        </is>
      </c>
      <c r="E4" s="30" t="inlineStr">
        <is>
          <t>CO_EC-520</t>
        </is>
      </c>
      <c r="F4" s="31" t="inlineStr">
        <is>
          <t>【対応方針】
①限定生産品と同様の対応を実施します。
商品（SKU）マスタに掲載フラグを追加し、フラグがONかつ得意先販路が許可されている商品SKUを、お買い得ページの「特別価格」として表示するようカスタマイズします。
・商品マスタの既存項目で表示可能な情報は、カスタマイズなしで表示します。
・タグ表示が必要な場合は、商品（SKU）マスタの未使用項目を利用して表示します。</t>
        </is>
      </c>
      <c r="G4" s="30" t="inlineStr">
        <is>
          <t>設計:0.5
PG:1
PT:0.5</t>
        </is>
      </c>
      <c r="H4" s="32" t="n">
        <v>2</v>
      </c>
      <c r="I4" s="32">
        <f>H4*1.1</f>
        <v/>
      </c>
      <c r="J4" s="32">
        <f>I4*1.5</f>
        <v/>
      </c>
      <c r="K4" s="33">
        <f>J4*60000</f>
        <v/>
      </c>
    </row>
    <row r="5" ht="165" customHeight="1" s="22">
      <c r="A5" s="26">
        <f>ROW()-2</f>
        <v/>
      </c>
      <c r="B5" s="26" t="inlineStr">
        <is>
          <t>EC-RiderB2B改修</t>
        </is>
      </c>
      <c r="C5" s="26" t="inlineStr">
        <is>
          <t>フロント</t>
        </is>
      </c>
      <c r="D5" s="26" t="inlineStr">
        <is>
          <t>お買い得ページの動的対応
③キャンペーン</t>
        </is>
      </c>
      <c r="E5" s="26" t="inlineStr">
        <is>
          <t>CO_EC-520</t>
        </is>
      </c>
      <c r="F5" s="27" t="inlineStr">
        <is>
          <t>【対応方針】
適用対象のキャンペーンをお買い得ページに表示します。
キャンペーン画像・キャンペーン説明を管理項目として追加し、登録データを元に表示するようカスタマイズします。
【確認・前提事項】
※各キャンペーンをクリックすると、対象シリーズを選択した状態で商品検索する想定です。
※キャンペーン詳細ページの作成は本お見積りには含みません（別途お見積り）。</t>
        </is>
      </c>
      <c r="G5" s="26" t="inlineStr">
        <is>
          <t>設計:1
PG:1.5
PT:0.5</t>
        </is>
      </c>
      <c r="H5" s="28" t="n">
        <v>3</v>
      </c>
      <c r="I5" s="28">
        <f>H5*1.1</f>
        <v/>
      </c>
      <c r="J5" s="28">
        <f>I5*1.5</f>
        <v/>
      </c>
      <c r="K5" s="29">
        <f>J5*60000</f>
        <v/>
      </c>
    </row>
    <row r="6" ht="165" customHeight="1" s="22">
      <c r="A6" s="30">
        <f>ROW()-2</f>
        <v/>
      </c>
      <c r="B6" s="30" t="inlineStr">
        <is>
          <t>EC-RiderB2B改修</t>
        </is>
      </c>
      <c r="C6" s="30" t="inlineStr">
        <is>
          <t>フロント</t>
        </is>
      </c>
      <c r="D6" s="30" t="inlineStr">
        <is>
          <t>お買い得ページの動的対応
④クーポン</t>
        </is>
      </c>
      <c r="E6" s="30" t="inlineStr">
        <is>
          <t>CO_EC-520</t>
        </is>
      </c>
      <c r="F6" s="31" t="inlineStr">
        <is>
          <t>【対応方針】
・未ログイン時：ユーザー共通で発行されているクーポンを表示します。
・ログイン時：対象ログインユーザーに発行されているクーポンを表示します。
表示要素はクーポンマスタから出力します。
ただし、リボンに表示する文言は現行マスタに存在しないため、クーポンマスタを拡張し、登録データをフロントサイトに表示できるようカスタマイズします。</t>
        </is>
      </c>
      <c r="G6" s="30" t="inlineStr">
        <is>
          <t>設計:0.5
PG:1
PT:0.5</t>
        </is>
      </c>
      <c r="H6" s="32" t="n">
        <v>2</v>
      </c>
      <c r="I6" s="32">
        <f>H6*1.1</f>
        <v/>
      </c>
      <c r="J6" s="32">
        <f>I6*1.5</f>
        <v/>
      </c>
      <c r="K6" s="33">
        <f>J6*60000</f>
        <v/>
      </c>
    </row>
    <row r="7" ht="24" customHeight="1" s="22">
      <c r="A7" s="34" t="n"/>
      <c r="B7" s="34" t="n"/>
      <c r="C7" s="34" t="n"/>
      <c r="D7" s="34" t="n"/>
      <c r="E7" s="34" t="n"/>
      <c r="F7" s="34" t="n"/>
      <c r="G7" s="35" t="inlineStr">
        <is>
          <t>合計</t>
        </is>
      </c>
      <c r="H7" s="36">
        <f>SUBTOTAL(9,H3:H6)</f>
        <v/>
      </c>
      <c r="I7" s="36">
        <f>SUBTOTAL(9,I3:I6)</f>
        <v/>
      </c>
      <c r="J7" s="36">
        <f>SUBTOTAL(9,J3:J6)</f>
        <v/>
      </c>
      <c r="K7" s="37">
        <f>SUBTOTAL(9,K3:K6)</f>
        <v/>
      </c>
    </row>
    <row r="9">
      <c r="A9" s="38" t="inlineStr">
        <is>
          <t>【補足】</t>
        </is>
      </c>
    </row>
    <row r="10" ht="70" customHeight="1" s="22">
      <c r="A10" s="39" t="inlineStr">
        <is>
          <t>・本お見積りは、お買い得ページ（Recommend &amp; Special Offer）を静的表示からデータ駆動の動的表示へ切り替える対応です。
・対象セクションは「限定生産品」「特別価格」「キャンペーン」「クーポン」の4区分です。
・単価：60,000円／人日（開発規模1.7倍ベース）。諸経費込係数1.1、見積係数1.5を適用しています。
・キャンペーン詳細ページ、商品一覧／詳細へのタグ表示横展開は、本お見積り範囲外です。</t>
        </is>
      </c>
    </row>
    <row r="11"/>
    <row r="12"/>
    <row r="14">
      <c r="D14" s="9" t="n"/>
      <c r="F14" s="9" t="n"/>
      <c r="G14" s="1" t="n"/>
    </row>
    <row r="15">
      <c r="G15" s="1" t="n"/>
    </row>
    <row r="16">
      <c r="G16" s="1" t="n"/>
    </row>
    <row r="17">
      <c r="G17" s="1" t="n"/>
    </row>
    <row r="18">
      <c r="G18" s="1" t="n"/>
    </row>
    <row r="19">
      <c r="G19" s="1" t="n"/>
    </row>
  </sheetData>
  <autoFilter ref="B2:I3"/>
  <mergeCells count="2">
    <mergeCell ref="A10:K12"/>
    <mergeCell ref="A1:K1"/>
  </mergeCells>
  <pageMargins left="0.7" right="0.7" top="0.75" bottom="0.75" header="0.3" footer="0.3"/>
  <pageSetup orientation="portrait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金川 貴</dc:creator>
  <dcterms:created xsi:type="dcterms:W3CDTF">2024-03-18T01:13:29Z</dcterms:created>
  <dcterms:modified xsi:type="dcterms:W3CDTF">2026-07-16T05:08:03Z</dcterms:modified>
  <cp:lastModifiedBy>masataka kozono</cp:lastModifiedBy>
  <cp:lastPrinted>2026-04-07T08:44:13Z</cp:lastPrinted>
</cp:coreProperties>
</file>